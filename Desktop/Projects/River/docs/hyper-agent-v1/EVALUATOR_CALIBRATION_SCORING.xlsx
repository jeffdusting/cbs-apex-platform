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mc:AlternateContent xmlns:mc="http://schemas.openxmlformats.org/markup-compatibility/2006">
    <mc:Choice Requires="x15">
      <x15ac:absPath xmlns:x15ac="http://schemas.microsoft.com/office/spreadsheetml/2010/11/ac" url="/Users/jeffdusting/Desktop/Projects/River/docs/hyper-agent-v1/"/>
    </mc:Choice>
  </mc:AlternateContent>
  <xr:revisionPtr revIDLastSave="0" documentId="13_ncr:1_{FDA4C40A-B750-1048-8C51-ECEFADEB2921}" xr6:coauthVersionLast="47" xr6:coauthVersionMax="47" xr10:uidLastSave="{00000000-0000-0000-0000-000000000000}"/>
  <bookViews>
    <workbookView xWindow="20420" yWindow="1200" windowWidth="27540" windowHeight="28200" xr2:uid="{00000000-000D-0000-FFFF-FFFF00000000}"/>
  </bookViews>
  <sheets>
    <sheet name="Calibration Scorin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4" i="1" l="1"/>
  <c r="J14" i="1"/>
  <c r="I14" i="1"/>
  <c r="H14" i="1"/>
  <c r="G14" i="1"/>
  <c r="F14" i="1"/>
  <c r="L12" i="1"/>
  <c r="M12" i="1" s="1"/>
  <c r="L11" i="1"/>
  <c r="M11" i="1" s="1"/>
  <c r="L10" i="1"/>
  <c r="M10" i="1" s="1"/>
  <c r="L9" i="1"/>
  <c r="M9" i="1" s="1"/>
  <c r="L8" i="1"/>
  <c r="M8" i="1" s="1"/>
  <c r="L7" i="1"/>
  <c r="M7" i="1" s="1"/>
  <c r="L6" i="1"/>
  <c r="M6" i="1" s="1"/>
  <c r="L5" i="1"/>
  <c r="L4" i="1"/>
  <c r="M4" i="1" s="1"/>
  <c r="L3" i="1"/>
  <c r="M3" i="1" s="1"/>
  <c r="M14" i="1" l="1"/>
  <c r="M5" i="1"/>
  <c r="L14" i="1"/>
</calcChain>
</file>

<file path=xl/sharedStrings.xml><?xml version="1.0" encoding="utf-8"?>
<sst xmlns="http://schemas.openxmlformats.org/spreadsheetml/2006/main" count="118" uniqueCount="105">
  <si>
    <t>#</t>
  </si>
  <si>
    <t>Issue</t>
  </si>
  <si>
    <t>Agent Role</t>
  </si>
  <si>
    <t>Task Type</t>
  </si>
  <si>
    <t>Date</t>
  </si>
  <si>
    <t>KB Grounding (25%)</t>
  </si>
  <si>
    <t>Instruction Adherence (20%)</t>
  </si>
  <si>
    <t>Completeness (15%)</t>
  </si>
  <si>
    <t>Actionability (15%)</t>
  </si>
  <si>
    <t>Factual Discipline (15%)</t>
  </si>
  <si>
    <t>Risk Handling (10%)</t>
  </si>
  <si>
    <t>Composite</t>
  </si>
  <si>
    <t>Result</t>
  </si>
  <si>
    <t>Notes</t>
  </si>
  <si>
    <t>Did the output cite or ground its claims in retrieved KB content?</t>
  </si>
  <si>
    <t>Did the output follow the agent's AGENTS.md protocol?</t>
  </si>
  <si>
    <t>Were all required sections, fields, or steps present?</t>
  </si>
  <si>
    <t>Can a human act on the output without asking follow-up questions?</t>
  </si>
  <si>
    <t>Did the output avoid fabrication, speculation, or claims beyond evidence?</t>
  </si>
  <si>
    <t>Were risks, caveats, and escalation triggers flagged appropriately?</t>
  </si>
  <si>
    <t>Weighted avg (auto)</t>
  </si>
  <si>
    <t>PASS &gt;= 3.5</t>
  </si>
  <si>
    <t>Free-text observations</t>
  </si>
  <si>
    <t>CBSA-48</t>
  </si>
  <si>
    <t>Tender Intelligence</t>
  </si>
  <si>
    <t>Opportunity extraction from digest</t>
  </si>
  <si>
    <t>2026-04-14</t>
  </si>
  <si>
    <t>CBSA-47</t>
  </si>
  <si>
    <t>Daily tender report / heartbeat</t>
  </si>
  <si>
    <t>CBSA-18</t>
  </si>
  <si>
    <t>Tender Coordination</t>
  </si>
  <si>
    <t>Tender response assembly (Silver gate)</t>
  </si>
  <si>
    <t>2026-04-13</t>
  </si>
  <si>
    <t>CBSA-43</t>
  </si>
  <si>
    <t>Governance CBS</t>
  </si>
  <si>
    <t>Agent governance framework</t>
  </si>
  <si>
    <t>2026-04-15</t>
  </si>
  <si>
    <t>CBSA-27</t>
  </si>
  <si>
    <t>CBS Executive</t>
  </si>
  <si>
    <t>Strategic decision — compliance gaps</t>
  </si>
  <si>
    <t>CBSA-34</t>
  </si>
  <si>
    <t>Compliance</t>
  </si>
  <si>
    <t>Systems engineering standards package</t>
  </si>
  <si>
    <t>CBSA-35</t>
  </si>
  <si>
    <t>Asset management standards package</t>
  </si>
  <si>
    <t>CBSA-23</t>
  </si>
  <si>
    <t>Technical Writing</t>
  </si>
  <si>
    <t>Methodology and experience section</t>
  </si>
  <si>
    <t>2026-04-11</t>
  </si>
  <si>
    <t>CBSA-25</t>
  </si>
  <si>
    <t>Pricing and Commercial</t>
  </si>
  <si>
    <t>Fee schedule and value proposition</t>
  </si>
  <si>
    <t>2026-04-10</t>
  </si>
  <si>
    <t>CBSA-20</t>
  </si>
  <si>
    <t>Research CBS</t>
  </si>
  <si>
    <t>KB retrieval verification</t>
  </si>
  <si>
    <t>AVERAGES</t>
  </si>
  <si>
    <t>SCORING GUIDE — Score definitions for each dimension</t>
  </si>
  <si>
    <t>Dimension (Weight)</t>
  </si>
  <si>
    <t>1 — Lowest</t>
  </si>
  <si>
    <t>2</t>
  </si>
  <si>
    <t>3</t>
  </si>
  <si>
    <t>4</t>
  </si>
  <si>
    <t>5 — Highest</t>
  </si>
  <si>
    <t>No KB content referenced. Entirely fabricated or general knowledge.</t>
  </si>
  <si>
    <t>Mentions KB exists but no specific citations.</t>
  </si>
  <si>
    <t>References KB but citations vague/incomplete. Some claims ungrounded.</t>
  </si>
  <si>
    <t>Most claims grounded in specific KB docs. Minor gaps.</t>
  </si>
  <si>
    <t>All substantive claims grounded in cited KB content. Evidence clear.</t>
  </si>
  <si>
    <t>Ignores heartbeat protocol. Ad hoc content.</t>
  </si>
  <si>
    <t>Follows some steps but skips mandatory sections.</t>
  </si>
  <si>
    <t>Follows structure but misses nuances or ordering.</t>
  </si>
  <si>
    <t>Follows protocol with minor deviations, no quality impact.</t>
  </si>
  <si>
    <t>Strict adherence to all steps, formatting, and structure.</t>
  </si>
  <si>
    <t>Major sections or required fields missing.</t>
  </si>
  <si>
    <t>Several required elements missing or stub-only.</t>
  </si>
  <si>
    <t>Most elements present but some thin or placeholder.</t>
  </si>
  <si>
    <t>All required elements present with adequate detail.</t>
  </si>
  <si>
    <t>All elements present with thorough detail, no gaps.</t>
  </si>
  <si>
    <t>Vague, abstract, requires significant clarification.</t>
  </si>
  <si>
    <t>Some actionable content but key details missing.</t>
  </si>
  <si>
    <t>Actionable with context but missing delegation specifics.</t>
  </si>
  <si>
    <t>Clear actions with owners, deadlines, next steps. Minor gaps.</t>
  </si>
  <si>
    <t>Fully self-contained. Reader can execute without further input.</t>
  </si>
  <si>
    <t>Contains fabricated data, invented references, false claims.</t>
  </si>
  <si>
    <t>Mixes factual content with unattributed speculation.</t>
  </si>
  <si>
    <t>Mostly factual but hedged speculation not flagged.</t>
  </si>
  <si>
    <t>Factual claims accurate and sourced. Speculation flagged.</t>
  </si>
  <si>
    <t>All claims evidence-based. Uncertainty stated. No fabrication.</t>
  </si>
  <si>
    <t>No risk awareness. Recommendations without caveats.</t>
  </si>
  <si>
    <t>Acknowledges risk exists but no specifics.</t>
  </si>
  <si>
    <t>Identifies key risks but no escalation triggers or mitigations.</t>
  </si>
  <si>
    <t>Risks with mitigations. Escalation triggers for high-impact items.</t>
  </si>
  <si>
    <t>Comprehensive: identified, quantified, mitigated, escalation clear.</t>
  </si>
  <si>
    <t>Pass threshold: weighted composite &gt;= 3.5</t>
  </si>
  <si>
    <t>CBS capabilities should be extended to include asset management, safety assurance, project management. We should create an explicit list for this type of task.  Assessmenthod includes team availability - this is not know to agent and should be removed.  CAPITAL should not be an explicit criteria, the underlying commercial asset management and other dimensions hsould be understood and applied as criteria</t>
  </si>
  <si>
    <t>no attempt to delegate blockers to other agents to fix or escalate to CEO agent - this should be fixed.   This report should be emailed to the governance board members for review - it was not.   There was a pasued agent but no action taken.</t>
  </si>
  <si>
    <t>agent should not be assigning tasks to humans, if work needs to be done by experts, then a new agent should be created with those skills.</t>
  </si>
  <si>
    <t>should have had a verification loop in this plan to make sure changes were effective post implementation</t>
  </si>
  <si>
    <t>need to have a proactive path that identifies missing material and kicks off a process to capture material and related material for future tasks.</t>
  </si>
  <si>
    <t>over weight on Capital - it is not the answer to everything, als no agent defined to develop the required diagrams</t>
  </si>
  <si>
    <t>assumes client specified capital - this is not the case.</t>
  </si>
  <si>
    <t>assumes client specified capital - this is not the case - should map to client requirements for the tender</t>
  </si>
  <si>
    <t>no connection to the solution design team for the % allocation of effort - or reference to the explicit client requirement</t>
  </si>
  <si>
    <t>analysis was very shallow and inaduate level of rigour for this task, it has skewed a great deal of conclusions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</si>
</sst>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2" x14ac:knownFonts="1">
    <font>
      <sz val="11"/>
      <color theme="1"/>
      <name val="Calibri"/>
      <family val="2"/>
      <scheme val="minor"/>
    </font>
    <font>
      <b/>
      <sz val="11"/>
      <color rgb="FFFFFFFF"/>
      <name val="Calibri"/>
      <family val="2"/>
    </font>
    <font>
      <i/>
      <sz val="8"/>
      <color rgb="FF666666"/>
      <name val="Calibri"/>
      <family val="2"/>
    </font>
    <font>
      <sz val="10"/>
      <name val="Calibri"/>
      <family val="2"/>
    </font>
    <font>
      <b/>
      <sz val="11"/>
      <name val="Calibri"/>
      <family val="2"/>
    </font>
    <font>
      <b/>
      <sz val="10"/>
      <color rgb="FF8C8374"/>
      <name val="Calibri"/>
      <family val="2"/>
    </font>
    <font>
      <b/>
      <sz val="10"/>
      <name val="Calibri"/>
      <family val="2"/>
    </font>
    <font>
      <b/>
      <sz val="11"/>
      <color rgb="FF3D7A4A"/>
      <name val="Calibri"/>
      <family val="2"/>
    </font>
    <font>
      <b/>
      <sz val="12"/>
      <color rgb="FF3A6B9B"/>
      <name val="Calibri"/>
      <family val="2"/>
    </font>
    <font>
      <b/>
      <sz val="10"/>
      <color rgb="FFFFFFFF"/>
      <name val="Calibri"/>
      <family val="2"/>
    </font>
    <font>
      <sz val="9"/>
      <name val="Calibri"/>
      <family val="2"/>
    </font>
    <font>
      <b/>
      <i/>
      <sz val="10"/>
      <color rgb="FF3D7A4A"/>
      <name val="Calibri"/>
      <family val="2"/>
    </font>
  </fonts>
  <fills count="12">
    <fill>
      <patternFill patternType="none"/>
    </fill>
    <fill>
      <patternFill patternType="gray125"/>
    </fill>
    <fill>
      <patternFill patternType="solid">
        <fgColor rgb="FF1A1A1A"/>
        <bgColor rgb="FF1A1A1A"/>
      </patternFill>
    </fill>
    <fill>
      <patternFill patternType="solid">
        <fgColor rgb="FF3D7A4A"/>
        <bgColor rgb="FF3D7A4A"/>
      </patternFill>
    </fill>
    <fill>
      <patternFill patternType="solid">
        <fgColor rgb="FFD4C9B5"/>
        <bgColor rgb="FFD4C9B5"/>
      </patternFill>
    </fill>
    <fill>
      <patternFill patternType="solid">
        <fgColor rgb="FFFFFDE7"/>
        <bgColor rgb="FFFFFDE7"/>
      </patternFill>
    </fill>
    <fill>
      <patternFill patternType="solid">
        <fgColor rgb="FFF6F3ED"/>
        <bgColor rgb="FFF6F3ED"/>
      </patternFill>
    </fill>
    <fill>
      <patternFill patternType="solid">
        <fgColor rgb="FFD4E5D7"/>
        <bgColor rgb="FFD4E5D7"/>
      </patternFill>
    </fill>
    <fill>
      <patternFill patternType="solid">
        <fgColor rgb="FF3A6B9B"/>
        <bgColor rgb="FF3A6B9B"/>
      </patternFill>
    </fill>
    <fill>
      <patternFill patternType="solid">
        <fgColor rgb="FFD4E0F0"/>
        <bgColor rgb="FFD4E0F0"/>
      </patternFill>
    </fill>
    <fill>
      <patternFill patternType="solid">
        <fgColor rgb="FFF0D4D4"/>
        <bgColor rgb="FFF0D4D4"/>
      </patternFill>
    </fill>
    <fill>
      <patternFill patternType="solid">
        <fgColor rgb="FFF0E4C4"/>
        <bgColor rgb="FFF0E4C4"/>
      </patternFill>
    </fill>
  </fills>
  <borders count="2">
    <border>
      <left/>
      <right/>
      <top/>
      <bottom/>
      <diagonal/>
    </border>
    <border>
      <left style="thin">
        <color rgb="FFD4C9B5"/>
      </left>
      <right style="thin">
        <color rgb="FFD4C9B5"/>
      </right>
      <top style="thin">
        <color rgb="FFD4C9B5"/>
      </top>
      <bottom style="thin">
        <color rgb="FFD4C9B5"/>
      </bottom>
      <diagonal/>
    </border>
  </borders>
  <cellStyleXfs count="1">
    <xf numFmtId="0" fontId="0" fillId="0" borderId="0"/>
  </cellStyleXfs>
  <cellXfs count="31">
    <xf numFmtId="0" fontId="0" fillId="0" borderId="0" xfId="0"/>
    <xf numFmtId="0" fontId="1" fillId="2" borderId="1" xfId="0" applyFont="1" applyFill="1" applyBorder="1" applyAlignment="1">
      <alignment horizontal="center" vertical="center"/>
    </xf>
    <xf numFmtId="0" fontId="1" fillId="2" borderId="1" xfId="0" applyFont="1" applyFill="1" applyBorder="1" applyAlignment="1">
      <alignment horizontal="center" vertical="top" wrapText="1"/>
    </xf>
    <xf numFmtId="0" fontId="1" fillId="3" borderId="1" xfId="0" applyFont="1" applyFill="1" applyBorder="1" applyAlignment="1">
      <alignment horizontal="center" vertical="center"/>
    </xf>
    <xf numFmtId="0" fontId="0" fillId="4" borderId="1" xfId="0" applyFill="1" applyBorder="1"/>
    <xf numFmtId="0" fontId="2" fillId="4" borderId="1" xfId="0" applyFont="1" applyFill="1" applyBorder="1" applyAlignment="1">
      <alignment vertical="top" wrapText="1"/>
    </xf>
    <xf numFmtId="0" fontId="2" fillId="5" borderId="1" xfId="0" applyFont="1" applyFill="1" applyBorder="1" applyAlignment="1">
      <alignment vertical="top" wrapText="1"/>
    </xf>
    <xf numFmtId="0" fontId="3" fillId="0" borderId="1" xfId="0" applyFont="1" applyBorder="1" applyAlignment="1">
      <alignment vertical="center"/>
    </xf>
    <xf numFmtId="1" fontId="0" fillId="6" borderId="1" xfId="0" applyNumberFormat="1" applyFill="1" applyBorder="1" applyAlignment="1">
      <alignment horizontal="center" vertical="center"/>
    </xf>
    <xf numFmtId="2" fontId="4" fillId="7" borderId="1" xfId="0" applyNumberFormat="1" applyFont="1" applyFill="1" applyBorder="1" applyAlignment="1">
      <alignment horizontal="center" vertical="center"/>
    </xf>
    <xf numFmtId="0" fontId="4" fillId="0" borderId="1" xfId="0" applyFont="1" applyBorder="1" applyAlignment="1">
      <alignment horizontal="center" vertical="center"/>
    </xf>
    <xf numFmtId="0" fontId="0" fillId="5" borderId="1" xfId="0" applyFill="1" applyBorder="1" applyAlignment="1">
      <alignment vertical="top" wrapText="1"/>
    </xf>
    <xf numFmtId="0" fontId="5" fillId="0" borderId="0" xfId="0" applyFont="1"/>
    <xf numFmtId="164" fontId="6" fillId="0" borderId="1" xfId="0" applyNumberFormat="1" applyFont="1" applyBorder="1" applyAlignment="1">
      <alignment horizontal="center" vertical="center"/>
    </xf>
    <xf numFmtId="2" fontId="7" fillId="7" borderId="1" xfId="0" applyNumberFormat="1" applyFont="1" applyFill="1" applyBorder="1" applyAlignment="1">
      <alignment horizontal="center" vertical="center"/>
    </xf>
    <xf numFmtId="0" fontId="6" fillId="0" borderId="1" xfId="0" applyFont="1" applyBorder="1" applyAlignment="1">
      <alignment horizontal="center" vertical="center"/>
    </xf>
    <xf numFmtId="0" fontId="9" fillId="8" borderId="1" xfId="0" applyFont="1" applyFill="1" applyBorder="1" applyAlignment="1">
      <alignment horizontal="center" vertical="center"/>
    </xf>
    <xf numFmtId="0" fontId="6" fillId="9" borderId="1" xfId="0" applyFont="1" applyFill="1" applyBorder="1" applyAlignment="1">
      <alignment vertical="top" wrapText="1"/>
    </xf>
    <xf numFmtId="0" fontId="10" fillId="10" borderId="1" xfId="0" applyFont="1" applyFill="1" applyBorder="1" applyAlignment="1">
      <alignment vertical="top" wrapText="1"/>
    </xf>
    <xf numFmtId="0" fontId="10" fillId="11" borderId="1" xfId="0" applyFont="1" applyFill="1" applyBorder="1" applyAlignment="1">
      <alignment vertical="top" wrapText="1"/>
    </xf>
    <xf numFmtId="0" fontId="10" fillId="6" borderId="1" xfId="0" applyFont="1" applyFill="1" applyBorder="1" applyAlignment="1">
      <alignment vertical="top" wrapText="1"/>
    </xf>
    <xf numFmtId="0" fontId="10" fillId="9" borderId="1" xfId="0" applyFont="1" applyFill="1" applyBorder="1" applyAlignment="1">
      <alignment vertical="top" wrapText="1"/>
    </xf>
    <xf numFmtId="0" fontId="10" fillId="7" borderId="1" xfId="0" applyFont="1" applyFill="1" applyBorder="1" applyAlignment="1">
      <alignment vertical="top" wrapText="1"/>
    </xf>
    <xf numFmtId="0" fontId="11" fillId="0" borderId="0" xfId="0" applyFont="1"/>
    <xf numFmtId="0" fontId="0" fillId="0" borderId="0" xfId="0"/>
    <xf numFmtId="0" fontId="8" fillId="0" borderId="0" xfId="0" applyFont="1"/>
    <xf numFmtId="0" fontId="1" fillId="2" borderId="1" xfId="0" applyFont="1" applyFill="1" applyBorder="1" applyAlignment="1">
      <alignment horizontal="center" vertical="center" wrapText="1"/>
    </xf>
    <xf numFmtId="0" fontId="0" fillId="4" borderId="1" xfId="0" applyFill="1" applyBorder="1" applyAlignment="1">
      <alignment wrapText="1"/>
    </xf>
    <xf numFmtId="0" fontId="3" fillId="0" borderId="1" xfId="0" applyFont="1" applyBorder="1" applyAlignment="1">
      <alignment vertical="center" wrapText="1"/>
    </xf>
    <xf numFmtId="0" fontId="0" fillId="0" borderId="0" xfId="0" applyAlignment="1">
      <alignment wrapText="1"/>
    </xf>
    <xf numFmtId="0" fontId="9" fillId="8"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26"/>
  <sheetViews>
    <sheetView tabSelected="1" workbookViewId="0">
      <pane xSplit="5" ySplit="2" topLeftCell="F3" activePane="bottomRight" state="frozen"/>
      <selection pane="topRight"/>
      <selection pane="bottomLeft"/>
      <selection pane="bottomRight" activeCell="E12" sqref="E12"/>
    </sheetView>
  </sheetViews>
  <sheetFormatPr baseColWidth="10" defaultColWidth="8.83203125" defaultRowHeight="15" x14ac:dyDescent="0.2"/>
  <cols>
    <col min="1" max="1" width="14.5" customWidth="1"/>
    <col min="2" max="2" width="10" customWidth="1"/>
    <col min="3" max="3" width="21.83203125" customWidth="1"/>
    <col min="4" max="4" width="21.83203125" style="29" customWidth="1"/>
    <col min="5" max="6" width="21.83203125" customWidth="1"/>
    <col min="7" max="11" width="16" customWidth="1"/>
    <col min="12" max="12" width="12" customWidth="1"/>
    <col min="13" max="13" width="8" customWidth="1"/>
    <col min="14" max="14" width="40" customWidth="1"/>
  </cols>
  <sheetData>
    <row r="1" spans="1:14" ht="32" x14ac:dyDescent="0.2">
      <c r="A1" s="1" t="s">
        <v>0</v>
      </c>
      <c r="B1" s="1" t="s">
        <v>1</v>
      </c>
      <c r="C1" s="1" t="s">
        <v>2</v>
      </c>
      <c r="D1" s="26" t="s">
        <v>3</v>
      </c>
      <c r="E1" s="1" t="s">
        <v>4</v>
      </c>
      <c r="F1" s="2" t="s">
        <v>5</v>
      </c>
      <c r="G1" s="2" t="s">
        <v>6</v>
      </c>
      <c r="H1" s="2" t="s">
        <v>7</v>
      </c>
      <c r="I1" s="2" t="s">
        <v>8</v>
      </c>
      <c r="J1" s="2" t="s">
        <v>9</v>
      </c>
      <c r="K1" s="2" t="s">
        <v>10</v>
      </c>
      <c r="L1" s="3" t="s">
        <v>11</v>
      </c>
      <c r="M1" s="3" t="s">
        <v>12</v>
      </c>
      <c r="N1" s="1" t="s">
        <v>13</v>
      </c>
    </row>
    <row r="2" spans="1:14" ht="40" customHeight="1" x14ac:dyDescent="0.2">
      <c r="A2" s="4"/>
      <c r="B2" s="4"/>
      <c r="C2" s="4"/>
      <c r="D2" s="27"/>
      <c r="E2" s="4"/>
      <c r="F2" s="5" t="s">
        <v>14</v>
      </c>
      <c r="G2" s="5" t="s">
        <v>15</v>
      </c>
      <c r="H2" s="5" t="s">
        <v>16</v>
      </c>
      <c r="I2" s="5" t="s">
        <v>17</v>
      </c>
      <c r="J2" s="5" t="s">
        <v>18</v>
      </c>
      <c r="K2" s="5" t="s">
        <v>19</v>
      </c>
      <c r="L2" s="5" t="s">
        <v>20</v>
      </c>
      <c r="M2" s="5" t="s">
        <v>21</v>
      </c>
      <c r="N2" s="6" t="s">
        <v>22</v>
      </c>
    </row>
    <row r="3" spans="1:14" ht="144" x14ac:dyDescent="0.2">
      <c r="A3" s="7">
        <v>1</v>
      </c>
      <c r="B3" s="7" t="s">
        <v>23</v>
      </c>
      <c r="C3" s="7" t="s">
        <v>24</v>
      </c>
      <c r="D3" s="28" t="s">
        <v>25</v>
      </c>
      <c r="E3" s="7" t="s">
        <v>26</v>
      </c>
      <c r="F3" s="8">
        <v>4</v>
      </c>
      <c r="G3" s="8">
        <v>5</v>
      </c>
      <c r="H3" s="8">
        <v>5</v>
      </c>
      <c r="I3" s="8">
        <v>5</v>
      </c>
      <c r="J3" s="8">
        <v>3</v>
      </c>
      <c r="K3" s="8">
        <v>1</v>
      </c>
      <c r="L3" s="9">
        <f t="shared" ref="L3:L12" si="0">IF(COUNTA(F3:K3)=6,0.25*F3+0.2*G3+0.15*H3+0.15*I3+0.15*J3+0.1*K3,"")</f>
        <v>4.05</v>
      </c>
      <c r="M3" s="10" t="str">
        <f t="shared" ref="M3:M12" si="1">IF(L3="","",IF(L3&gt;=3.5,"PASS","FAIL"))</f>
        <v>PASS</v>
      </c>
      <c r="N3" s="11" t="s">
        <v>95</v>
      </c>
    </row>
    <row r="4" spans="1:14" ht="80" x14ac:dyDescent="0.2">
      <c r="A4" s="7">
        <v>2</v>
      </c>
      <c r="B4" s="7" t="s">
        <v>27</v>
      </c>
      <c r="C4" s="7" t="s">
        <v>24</v>
      </c>
      <c r="D4" s="28" t="s">
        <v>28</v>
      </c>
      <c r="E4" s="7" t="s">
        <v>26</v>
      </c>
      <c r="F4" s="8"/>
      <c r="G4" s="8"/>
      <c r="H4" s="8">
        <v>1</v>
      </c>
      <c r="I4" s="8">
        <v>1</v>
      </c>
      <c r="J4" s="8">
        <v>3</v>
      </c>
      <c r="K4" s="8">
        <v>1</v>
      </c>
      <c r="L4" s="9" t="str">
        <f t="shared" si="0"/>
        <v/>
      </c>
      <c r="M4" s="10" t="str">
        <f t="shared" si="1"/>
        <v/>
      </c>
      <c r="N4" s="11" t="s">
        <v>96</v>
      </c>
    </row>
    <row r="5" spans="1:14" ht="48" x14ac:dyDescent="0.2">
      <c r="A5" s="7">
        <v>3</v>
      </c>
      <c r="B5" s="7" t="s">
        <v>29</v>
      </c>
      <c r="C5" s="7" t="s">
        <v>30</v>
      </c>
      <c r="D5" s="28" t="s">
        <v>31</v>
      </c>
      <c r="E5" s="7" t="s">
        <v>32</v>
      </c>
      <c r="F5" s="8">
        <v>3</v>
      </c>
      <c r="G5" s="8">
        <v>2</v>
      </c>
      <c r="H5" s="8">
        <v>2</v>
      </c>
      <c r="I5" s="8">
        <v>2</v>
      </c>
      <c r="J5" s="8">
        <v>3</v>
      </c>
      <c r="K5" s="8">
        <v>1</v>
      </c>
      <c r="L5" s="9">
        <f t="shared" si="0"/>
        <v>2.3000000000000003</v>
      </c>
      <c r="M5" s="10" t="str">
        <f t="shared" si="1"/>
        <v>FAIL</v>
      </c>
      <c r="N5" s="11" t="s">
        <v>97</v>
      </c>
    </row>
    <row r="6" spans="1:14" ht="48" x14ac:dyDescent="0.2">
      <c r="A6" s="7">
        <v>4</v>
      </c>
      <c r="B6" s="7" t="s">
        <v>33</v>
      </c>
      <c r="C6" s="7" t="s">
        <v>34</v>
      </c>
      <c r="D6" s="28" t="s">
        <v>35</v>
      </c>
      <c r="E6" s="7" t="s">
        <v>36</v>
      </c>
      <c r="F6" s="8">
        <v>3</v>
      </c>
      <c r="G6" s="8">
        <v>4</v>
      </c>
      <c r="H6" s="8">
        <v>3</v>
      </c>
      <c r="I6" s="8">
        <v>3</v>
      </c>
      <c r="J6" s="8">
        <v>4</v>
      </c>
      <c r="K6" s="8">
        <v>1</v>
      </c>
      <c r="L6" s="9">
        <f t="shared" si="0"/>
        <v>3.1500000000000004</v>
      </c>
      <c r="M6" s="10" t="str">
        <f t="shared" si="1"/>
        <v>FAIL</v>
      </c>
      <c r="N6" s="11" t="s">
        <v>98</v>
      </c>
    </row>
    <row r="7" spans="1:14" ht="48" x14ac:dyDescent="0.2">
      <c r="A7" s="7">
        <v>5</v>
      </c>
      <c r="B7" s="7" t="s">
        <v>37</v>
      </c>
      <c r="C7" s="7" t="s">
        <v>38</v>
      </c>
      <c r="D7" s="28" t="s">
        <v>39</v>
      </c>
      <c r="E7" s="7" t="s">
        <v>32</v>
      </c>
      <c r="F7" s="8">
        <v>4</v>
      </c>
      <c r="G7" s="8">
        <v>5</v>
      </c>
      <c r="H7" s="8">
        <v>4</v>
      </c>
      <c r="I7" s="8">
        <v>2</v>
      </c>
      <c r="J7" s="8">
        <v>4</v>
      </c>
      <c r="K7" s="8">
        <v>2</v>
      </c>
      <c r="L7" s="9">
        <f t="shared" si="0"/>
        <v>3.7</v>
      </c>
      <c r="M7" s="10" t="str">
        <f t="shared" si="1"/>
        <v>PASS</v>
      </c>
      <c r="N7" s="11" t="s">
        <v>99</v>
      </c>
    </row>
    <row r="8" spans="1:14" ht="48" x14ac:dyDescent="0.2">
      <c r="A8" s="7">
        <v>6</v>
      </c>
      <c r="B8" s="7" t="s">
        <v>40</v>
      </c>
      <c r="C8" s="7" t="s">
        <v>41</v>
      </c>
      <c r="D8" s="28" t="s">
        <v>42</v>
      </c>
      <c r="E8" s="7" t="s">
        <v>26</v>
      </c>
      <c r="F8" s="8">
        <v>4</v>
      </c>
      <c r="G8" s="8">
        <v>2</v>
      </c>
      <c r="H8" s="8">
        <v>2</v>
      </c>
      <c r="I8" s="8">
        <v>5</v>
      </c>
      <c r="J8" s="8">
        <v>3</v>
      </c>
      <c r="K8" s="8">
        <v>1</v>
      </c>
      <c r="L8" s="9">
        <f t="shared" si="0"/>
        <v>3.0000000000000004</v>
      </c>
      <c r="M8" s="10" t="str">
        <f t="shared" si="1"/>
        <v>FAIL</v>
      </c>
      <c r="N8" s="11" t="s">
        <v>100</v>
      </c>
    </row>
    <row r="9" spans="1:14" ht="32" x14ac:dyDescent="0.2">
      <c r="A9" s="7">
        <v>7</v>
      </c>
      <c r="B9" s="7" t="s">
        <v>43</v>
      </c>
      <c r="C9" s="7" t="s">
        <v>41</v>
      </c>
      <c r="D9" s="28" t="s">
        <v>44</v>
      </c>
      <c r="E9" s="7" t="s">
        <v>32</v>
      </c>
      <c r="F9" s="8">
        <v>4</v>
      </c>
      <c r="G9" s="8">
        <v>2</v>
      </c>
      <c r="H9" s="8">
        <v>3</v>
      </c>
      <c r="I9" s="8">
        <v>3</v>
      </c>
      <c r="J9" s="8">
        <v>1</v>
      </c>
      <c r="K9" s="8">
        <v>1</v>
      </c>
      <c r="L9" s="9">
        <f t="shared" si="0"/>
        <v>2.5499999999999998</v>
      </c>
      <c r="M9" s="10" t="str">
        <f t="shared" si="1"/>
        <v>FAIL</v>
      </c>
      <c r="N9" s="11" t="s">
        <v>101</v>
      </c>
    </row>
    <row r="10" spans="1:14" ht="48" x14ac:dyDescent="0.2">
      <c r="A10" s="7">
        <v>8</v>
      </c>
      <c r="B10" s="7" t="s">
        <v>45</v>
      </c>
      <c r="C10" s="7" t="s">
        <v>46</v>
      </c>
      <c r="D10" s="28" t="s">
        <v>47</v>
      </c>
      <c r="E10" s="7" t="s">
        <v>48</v>
      </c>
      <c r="F10" s="8">
        <v>4</v>
      </c>
      <c r="G10" s="8">
        <v>1</v>
      </c>
      <c r="H10" s="8">
        <v>1</v>
      </c>
      <c r="I10" s="8">
        <v>3</v>
      </c>
      <c r="J10" s="8">
        <v>1</v>
      </c>
      <c r="K10" s="8">
        <v>1</v>
      </c>
      <c r="L10" s="9">
        <f t="shared" si="0"/>
        <v>2.0499999999999998</v>
      </c>
      <c r="M10" s="10" t="str">
        <f t="shared" si="1"/>
        <v>FAIL</v>
      </c>
      <c r="N10" s="11" t="s">
        <v>102</v>
      </c>
    </row>
    <row r="11" spans="1:14" ht="48" x14ac:dyDescent="0.2">
      <c r="A11" s="7">
        <v>9</v>
      </c>
      <c r="B11" s="7" t="s">
        <v>49</v>
      </c>
      <c r="C11" s="7" t="s">
        <v>50</v>
      </c>
      <c r="D11" s="28" t="s">
        <v>51</v>
      </c>
      <c r="E11" s="7" t="s">
        <v>52</v>
      </c>
      <c r="F11" s="8">
        <v>2</v>
      </c>
      <c r="G11" s="8">
        <v>1</v>
      </c>
      <c r="H11" s="8">
        <v>3</v>
      </c>
      <c r="I11" s="8">
        <v>3</v>
      </c>
      <c r="J11" s="8">
        <v>2</v>
      </c>
      <c r="K11" s="8">
        <v>1</v>
      </c>
      <c r="L11" s="9">
        <f t="shared" si="0"/>
        <v>2</v>
      </c>
      <c r="M11" s="10" t="str">
        <f t="shared" si="1"/>
        <v>FAIL</v>
      </c>
      <c r="N11" s="11" t="s">
        <v>103</v>
      </c>
    </row>
    <row r="12" spans="1:14" ht="48" x14ac:dyDescent="0.2">
      <c r="A12" s="7">
        <v>10</v>
      </c>
      <c r="B12" s="7" t="s">
        <v>53</v>
      </c>
      <c r="C12" s="7" t="s">
        <v>54</v>
      </c>
      <c r="D12" s="28" t="s">
        <v>55</v>
      </c>
      <c r="E12" s="7" t="s">
        <v>52</v>
      </c>
      <c r="F12" s="8">
        <v>1</v>
      </c>
      <c r="G12" s="8">
        <v>1</v>
      </c>
      <c r="H12" s="8">
        <v>1</v>
      </c>
      <c r="I12" s="8">
        <v>1</v>
      </c>
      <c r="J12" s="8">
        <v>1</v>
      </c>
      <c r="K12" s="8">
        <v>1</v>
      </c>
      <c r="L12" s="9">
        <f t="shared" si="0"/>
        <v>1</v>
      </c>
      <c r="M12" s="10" t="str">
        <f t="shared" si="1"/>
        <v>FAIL</v>
      </c>
      <c r="N12" s="11" t="s">
        <v>104</v>
      </c>
    </row>
    <row r="14" spans="1:14" x14ac:dyDescent="0.2">
      <c r="E14" s="12" t="s">
        <v>56</v>
      </c>
      <c r="F14" s="13">
        <f t="shared" ref="F14:L14" si="2">IF(COUNT(F3:F12)&gt;0,AVERAGE(F3:F12),"")</f>
        <v>3.2222222222222223</v>
      </c>
      <c r="G14" s="13">
        <f t="shared" si="2"/>
        <v>2.5555555555555554</v>
      </c>
      <c r="H14" s="13">
        <f t="shared" si="2"/>
        <v>2.5</v>
      </c>
      <c r="I14" s="13">
        <f t="shared" si="2"/>
        <v>2.8</v>
      </c>
      <c r="J14" s="13">
        <f t="shared" si="2"/>
        <v>2.5</v>
      </c>
      <c r="K14" s="13">
        <f t="shared" si="2"/>
        <v>1.1000000000000001</v>
      </c>
      <c r="L14" s="14">
        <f t="shared" si="2"/>
        <v>2.6444444444444444</v>
      </c>
      <c r="M14" s="15" t="str">
        <f>IF(COUNT(L3:L12)&gt;0,COUNTIF(M3:M12,"PASS")&amp;"/"&amp;COUNT(L3:L12),"")</f>
        <v>2/9</v>
      </c>
    </row>
    <row r="17" spans="1:7" ht="16" x14ac:dyDescent="0.2">
      <c r="A17" s="25" t="s">
        <v>57</v>
      </c>
      <c r="B17" s="24"/>
      <c r="C17" s="24"/>
      <c r="D17" s="24"/>
      <c r="E17" s="24"/>
      <c r="F17" s="24"/>
      <c r="G17" s="24"/>
    </row>
    <row r="18" spans="1:7" x14ac:dyDescent="0.2">
      <c r="A18" s="16" t="s">
        <v>58</v>
      </c>
      <c r="B18" s="16" t="s">
        <v>59</v>
      </c>
      <c r="C18" s="16" t="s">
        <v>60</v>
      </c>
      <c r="D18" s="30" t="s">
        <v>61</v>
      </c>
      <c r="E18" s="16" t="s">
        <v>62</v>
      </c>
      <c r="F18" s="16" t="s">
        <v>63</v>
      </c>
    </row>
    <row r="19" spans="1:7" ht="55" customHeight="1" x14ac:dyDescent="0.2">
      <c r="A19" s="17" t="s">
        <v>5</v>
      </c>
      <c r="B19" s="18" t="s">
        <v>64</v>
      </c>
      <c r="C19" s="19" t="s">
        <v>65</v>
      </c>
      <c r="D19" s="20" t="s">
        <v>66</v>
      </c>
      <c r="E19" s="21" t="s">
        <v>67</v>
      </c>
      <c r="F19" s="22" t="s">
        <v>68</v>
      </c>
    </row>
    <row r="20" spans="1:7" ht="55" customHeight="1" x14ac:dyDescent="0.2">
      <c r="A20" s="17" t="s">
        <v>6</v>
      </c>
      <c r="B20" s="18" t="s">
        <v>69</v>
      </c>
      <c r="C20" s="19" t="s">
        <v>70</v>
      </c>
      <c r="D20" s="20" t="s">
        <v>71</v>
      </c>
      <c r="E20" s="21" t="s">
        <v>72</v>
      </c>
      <c r="F20" s="22" t="s">
        <v>73</v>
      </c>
    </row>
    <row r="21" spans="1:7" ht="55" customHeight="1" x14ac:dyDescent="0.2">
      <c r="A21" s="17" t="s">
        <v>7</v>
      </c>
      <c r="B21" s="18" t="s">
        <v>74</v>
      </c>
      <c r="C21" s="19" t="s">
        <v>75</v>
      </c>
      <c r="D21" s="20" t="s">
        <v>76</v>
      </c>
      <c r="E21" s="21" t="s">
        <v>77</v>
      </c>
      <c r="F21" s="22" t="s">
        <v>78</v>
      </c>
    </row>
    <row r="22" spans="1:7" ht="55" customHeight="1" x14ac:dyDescent="0.2">
      <c r="A22" s="17" t="s">
        <v>8</v>
      </c>
      <c r="B22" s="18" t="s">
        <v>79</v>
      </c>
      <c r="C22" s="19" t="s">
        <v>80</v>
      </c>
      <c r="D22" s="20" t="s">
        <v>81</v>
      </c>
      <c r="E22" s="21" t="s">
        <v>82</v>
      </c>
      <c r="F22" s="22" t="s">
        <v>83</v>
      </c>
    </row>
    <row r="23" spans="1:7" ht="55" customHeight="1" x14ac:dyDescent="0.2">
      <c r="A23" s="17" t="s">
        <v>9</v>
      </c>
      <c r="B23" s="18" t="s">
        <v>84</v>
      </c>
      <c r="C23" s="19" t="s">
        <v>85</v>
      </c>
      <c r="D23" s="20" t="s">
        <v>86</v>
      </c>
      <c r="E23" s="21" t="s">
        <v>87</v>
      </c>
      <c r="F23" s="22" t="s">
        <v>88</v>
      </c>
    </row>
    <row r="24" spans="1:7" ht="55" customHeight="1" x14ac:dyDescent="0.2">
      <c r="A24" s="17" t="s">
        <v>10</v>
      </c>
      <c r="B24" s="18" t="s">
        <v>89</v>
      </c>
      <c r="C24" s="19" t="s">
        <v>90</v>
      </c>
      <c r="D24" s="20" t="s">
        <v>91</v>
      </c>
      <c r="E24" s="21" t="s">
        <v>92</v>
      </c>
      <c r="F24" s="22" t="s">
        <v>93</v>
      </c>
    </row>
    <row r="26" spans="1:7" x14ac:dyDescent="0.2">
      <c r="A26" s="23" t="s">
        <v>94</v>
      </c>
      <c r="B26" s="24"/>
      <c r="C26" s="24"/>
      <c r="D26" s="24"/>
      <c r="E26" s="24"/>
      <c r="F26" s="24"/>
    </row>
  </sheetData>
  <mergeCells count="2">
    <mergeCell ref="A26:F26"/>
    <mergeCell ref="A17:G17"/>
  </mergeCells>
  <dataValidations count="1">
    <dataValidation type="whole" allowBlank="1" errorTitle="Invalid score" error="Enter 1-5" promptTitle="Rubric Score" prompt="Score 1-5" sqref="F3:F12 G3:G12 H3:H12 I3:I12 J3:J12 K3:K12" xr:uid="{00000000-0002-0000-0000-000000000000}">
      <formula1>1</formula1>
      <formula2>5</formula2>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Calibration Scoring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Jeff Dusting</cp:lastModifiedBy>
  <dcterms:created xsi:type="dcterms:W3CDTF">2026-04-15T04:35:43Z</dcterms:created>
  <dcterms:modified xsi:type="dcterms:W3CDTF">2026-04-15T05:11:22Z</dcterms:modified>
</cp:coreProperties>
</file>