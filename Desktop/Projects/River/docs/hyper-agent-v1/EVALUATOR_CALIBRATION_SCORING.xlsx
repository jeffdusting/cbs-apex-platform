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ibration Sc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8"/>
    </font>
    <font>
      <name val="Calibri"/>
      <sz val="10"/>
    </font>
    <font>
      <name val="Calibri"/>
      <b val="1"/>
      <sz val="11"/>
    </font>
    <font>
      <name val="Calibri"/>
      <b val="1"/>
      <color rgb="008C8374"/>
      <sz val="10"/>
    </font>
    <font>
      <name val="Calibri"/>
      <b val="1"/>
      <sz val="10"/>
    </font>
    <font>
      <name val="Calibri"/>
      <b val="1"/>
      <color rgb="003D7A4A"/>
      <sz val="11"/>
    </font>
    <font>
      <name val="Calibri"/>
      <b val="1"/>
      <color rgb="003A6B9B"/>
      <sz val="12"/>
    </font>
    <font>
      <name val="Calibri"/>
      <b val="1"/>
      <color rgb="00FFFFFF"/>
      <sz val="10"/>
    </font>
    <font>
      <name val="Calibri"/>
      <sz val="9"/>
    </font>
    <font>
      <name val="Calibri"/>
      <b val="1"/>
      <i val="1"/>
      <color rgb="003D7A4A"/>
      <sz val="10"/>
    </font>
  </fonts>
  <fills count="12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3D7A4A"/>
        <bgColor rgb="003D7A4A"/>
      </patternFill>
    </fill>
    <fill>
      <patternFill patternType="solid">
        <fgColor rgb="00D4C9B5"/>
        <bgColor rgb="00D4C9B5"/>
      </patternFill>
    </fill>
    <fill>
      <patternFill patternType="solid">
        <fgColor rgb="00FFFDE7"/>
        <bgColor rgb="00FFFDE7"/>
      </patternFill>
    </fill>
    <fill>
      <patternFill patternType="solid">
        <fgColor rgb="00F6F3ED"/>
        <bgColor rgb="00F6F3ED"/>
      </patternFill>
    </fill>
    <fill>
      <patternFill patternType="solid">
        <fgColor rgb="00D4E5D7"/>
        <bgColor rgb="00D4E5D7"/>
      </patternFill>
    </fill>
    <fill>
      <patternFill patternType="solid">
        <fgColor rgb="003A6B9B"/>
        <bgColor rgb="003A6B9B"/>
      </patternFill>
    </fill>
    <fill>
      <patternFill patternType="solid">
        <fgColor rgb="00D4E0F0"/>
        <bgColor rgb="00D4E0F0"/>
      </patternFill>
    </fill>
    <fill>
      <patternFill patternType="solid">
        <fgColor rgb="00F0D4D4"/>
        <bgColor rgb="00F0D4D4"/>
      </patternFill>
    </fill>
    <fill>
      <patternFill patternType="solid">
        <fgColor rgb="00F0E4C4"/>
        <bgColor rgb="00F0E4C4"/>
      </patternFill>
    </fill>
  </fills>
  <borders count="2">
    <border>
      <left/>
      <right/>
      <top/>
      <bottom/>
      <diagonal/>
    </border>
    <border>
      <left style="thin">
        <color rgb="00D4C9B5"/>
      </left>
      <right style="thin">
        <color rgb="00D4C9B5"/>
      </right>
      <top style="thin">
        <color rgb="00D4C9B5"/>
      </top>
      <bottom style="thin">
        <color rgb="00D4C9B5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center"/>
    </xf>
    <xf numFmtId="0" fontId="0" fillId="4" borderId="1" pivotButton="0" quotePrefix="0" xfId="0"/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0" borderId="1" applyAlignment="1" pivotButton="0" quotePrefix="0" xfId="0">
      <alignment vertical="center"/>
    </xf>
    <xf numFmtId="1" fontId="0" fillId="6" borderId="1" applyAlignment="1" pivotButton="0" quotePrefix="0" xfId="0">
      <alignment horizontal="center" vertical="center"/>
    </xf>
    <xf numFmtId="2" fontId="4" fillId="7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top" wrapText="1"/>
    </xf>
    <xf numFmtId="0" fontId="5" fillId="0" borderId="0" pivotButton="0" quotePrefix="0" xfId="0"/>
    <xf numFmtId="164" fontId="6" fillId="0" borderId="1" applyAlignment="1" pivotButton="0" quotePrefix="0" xfId="0">
      <alignment horizontal="center" vertical="center"/>
    </xf>
    <xf numFmtId="2" fontId="7" fillId="7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vertical="top" wrapText="1"/>
    </xf>
    <xf numFmtId="0" fontId="10" fillId="10" borderId="1" applyAlignment="1" pivotButton="0" quotePrefix="0" xfId="0">
      <alignment vertical="top" wrapText="1"/>
    </xf>
    <xf numFmtId="0" fontId="10" fillId="11" borderId="1" applyAlignment="1" pivotButton="0" quotePrefix="0" xfId="0">
      <alignment vertical="top" wrapText="1"/>
    </xf>
    <xf numFmtId="0" fontId="10" fillId="6" borderId="1" applyAlignment="1" pivotButton="0" quotePrefix="0" xfId="0">
      <alignment vertical="top" wrapText="1"/>
    </xf>
    <xf numFmtId="0" fontId="10" fillId="9" borderId="1" applyAlignment="1" pivotButton="0" quotePrefix="0" xfId="0">
      <alignment vertical="top" wrapText="1"/>
    </xf>
    <xf numFmtId="0" fontId="10" fillId="7" borderId="1" applyAlignment="1" pivotButton="0" quotePrefix="0" xfId="0">
      <alignment vertical="top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6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0" customWidth="1" min="2" max="2"/>
    <col width="22" customWidth="1" min="3" max="3"/>
    <col width="38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2" customWidth="1" min="12" max="12"/>
    <col width="8" customWidth="1" min="13" max="13"/>
    <col width="40" customWidth="1" min="14" max="14"/>
  </cols>
  <sheetData>
    <row r="1">
      <c r="A1" s="1" t="inlineStr">
        <is>
          <t>#</t>
        </is>
      </c>
      <c r="B1" s="1" t="inlineStr">
        <is>
          <t>Issue</t>
        </is>
      </c>
      <c r="C1" s="1" t="inlineStr">
        <is>
          <t>Agent Role</t>
        </is>
      </c>
      <c r="D1" s="1" t="inlineStr">
        <is>
          <t>Task Type</t>
        </is>
      </c>
      <c r="E1" s="1" t="inlineStr">
        <is>
          <t>Date</t>
        </is>
      </c>
      <c r="F1" s="2" t="inlineStr">
        <is>
          <t>KB Grounding (25%)</t>
        </is>
      </c>
      <c r="G1" s="2" t="inlineStr">
        <is>
          <t>Instruction Adherence (20%)</t>
        </is>
      </c>
      <c r="H1" s="2" t="inlineStr">
        <is>
          <t>Completeness (15%)</t>
        </is>
      </c>
      <c r="I1" s="2" t="inlineStr">
        <is>
          <t>Actionability (15%)</t>
        </is>
      </c>
      <c r="J1" s="2" t="inlineStr">
        <is>
          <t>Factual Discipline (15%)</t>
        </is>
      </c>
      <c r="K1" s="2" t="inlineStr">
        <is>
          <t>Risk Handling (10%)</t>
        </is>
      </c>
      <c r="L1" s="3" t="inlineStr">
        <is>
          <t>Composite</t>
        </is>
      </c>
      <c r="M1" s="3" t="inlineStr">
        <is>
          <t>Result</t>
        </is>
      </c>
      <c r="N1" s="1" t="inlineStr">
        <is>
          <t>Notes</t>
        </is>
      </c>
    </row>
    <row r="2" ht="40" customHeight="1">
      <c r="A2" s="4" t="n"/>
      <c r="B2" s="4" t="n"/>
      <c r="C2" s="4" t="n"/>
      <c r="D2" s="4" t="n"/>
      <c r="E2" s="4" t="n"/>
      <c r="F2" s="5" t="inlineStr">
        <is>
          <t>Did the output cite or ground its claims in retrieved KB content?</t>
        </is>
      </c>
      <c r="G2" s="5" t="inlineStr">
        <is>
          <t>Did the output follow the agent's AGENTS.md protocol?</t>
        </is>
      </c>
      <c r="H2" s="5" t="inlineStr">
        <is>
          <t>Were all required sections, fields, or steps present?</t>
        </is>
      </c>
      <c r="I2" s="5" t="inlineStr">
        <is>
          <t>Can a human act on the output without asking follow-up questions?</t>
        </is>
      </c>
      <c r="J2" s="5" t="inlineStr">
        <is>
          <t>Did the output avoid fabrication, speculation, or claims beyond evidence?</t>
        </is>
      </c>
      <c r="K2" s="5" t="inlineStr">
        <is>
          <t>Were risks, caveats, and escalation triggers flagged appropriately?</t>
        </is>
      </c>
      <c r="L2" s="5" t="inlineStr">
        <is>
          <t>Weighted avg (auto)</t>
        </is>
      </c>
      <c r="M2" s="5" t="inlineStr">
        <is>
          <t>PASS &gt;= 3.5</t>
        </is>
      </c>
      <c r="N2" s="6" t="inlineStr">
        <is>
          <t>Free-text observations</t>
        </is>
      </c>
    </row>
    <row r="3">
      <c r="A3" s="7" t="n">
        <v>1</v>
      </c>
      <c r="B3" s="7" t="inlineStr">
        <is>
          <t>CBSA-48</t>
        </is>
      </c>
      <c r="C3" s="7" t="inlineStr">
        <is>
          <t>Tender Intelligence</t>
        </is>
      </c>
      <c r="D3" s="7" t="inlineStr">
        <is>
          <t>Opportunity extraction from digest</t>
        </is>
      </c>
      <c r="E3" s="7" t="inlineStr">
        <is>
          <t>2026-04-14</t>
        </is>
      </c>
      <c r="F3" s="8" t="n"/>
      <c r="G3" s="8" t="n"/>
      <c r="H3" s="8" t="n"/>
      <c r="I3" s="8" t="n"/>
      <c r="J3" s="8" t="n"/>
      <c r="K3" s="8" t="n"/>
      <c r="L3" s="9">
        <f>IF(COUNTA(F3:K3)=6,0.25*F3+0.2*G3+0.15*H3+0.15*I3+0.15*J3+0.1*K3,"")</f>
        <v/>
      </c>
      <c r="M3" s="10">
        <f>IF(L3="","",IF(L3&gt;=3.5,"PASS","FAIL"))</f>
        <v/>
      </c>
      <c r="N3" s="11" t="n"/>
    </row>
    <row r="4">
      <c r="A4" s="7" t="n">
        <v>2</v>
      </c>
      <c r="B4" s="7" t="inlineStr">
        <is>
          <t>CBSA-47</t>
        </is>
      </c>
      <c r="C4" s="7" t="inlineStr">
        <is>
          <t>Tender Intelligence</t>
        </is>
      </c>
      <c r="D4" s="7" t="inlineStr">
        <is>
          <t>Daily tender report / heartbeat</t>
        </is>
      </c>
      <c r="E4" s="7" t="inlineStr">
        <is>
          <t>2026-04-14</t>
        </is>
      </c>
      <c r="F4" s="8" t="n"/>
      <c r="G4" s="8" t="n"/>
      <c r="H4" s="8" t="n"/>
      <c r="I4" s="8" t="n"/>
      <c r="J4" s="8" t="n"/>
      <c r="K4" s="8" t="n"/>
      <c r="L4" s="9">
        <f>IF(COUNTA(F4:K4)=6,0.25*F4+0.2*G4+0.15*H4+0.15*I4+0.15*J4+0.1*K4,"")</f>
        <v/>
      </c>
      <c r="M4" s="10">
        <f>IF(L4="","",IF(L4&gt;=3.5,"PASS","FAIL"))</f>
        <v/>
      </c>
      <c r="N4" s="11" t="n"/>
    </row>
    <row r="5">
      <c r="A5" s="7" t="n">
        <v>3</v>
      </c>
      <c r="B5" s="7" t="inlineStr">
        <is>
          <t>CBSA-18</t>
        </is>
      </c>
      <c r="C5" s="7" t="inlineStr">
        <is>
          <t>Tender Coordination</t>
        </is>
      </c>
      <c r="D5" s="7" t="inlineStr">
        <is>
          <t>Tender response assembly (Silver gate)</t>
        </is>
      </c>
      <c r="E5" s="7" t="inlineStr">
        <is>
          <t>2026-04-13</t>
        </is>
      </c>
      <c r="F5" s="8" t="n"/>
      <c r="G5" s="8" t="n"/>
      <c r="H5" s="8" t="n"/>
      <c r="I5" s="8" t="n"/>
      <c r="J5" s="8" t="n"/>
      <c r="K5" s="8" t="n"/>
      <c r="L5" s="9">
        <f>IF(COUNTA(F5:K5)=6,0.25*F5+0.2*G5+0.15*H5+0.15*I5+0.15*J5+0.1*K5,"")</f>
        <v/>
      </c>
      <c r="M5" s="10">
        <f>IF(L5="","",IF(L5&gt;=3.5,"PASS","FAIL"))</f>
        <v/>
      </c>
      <c r="N5" s="11" t="n"/>
    </row>
    <row r="6">
      <c r="A6" s="7" t="n">
        <v>4</v>
      </c>
      <c r="B6" s="7" t="inlineStr">
        <is>
          <t>CBSA-43</t>
        </is>
      </c>
      <c r="C6" s="7" t="inlineStr">
        <is>
          <t>Governance CBS</t>
        </is>
      </c>
      <c r="D6" s="7" t="inlineStr">
        <is>
          <t>Agent governance framework</t>
        </is>
      </c>
      <c r="E6" s="7" t="inlineStr">
        <is>
          <t>2026-04-15</t>
        </is>
      </c>
      <c r="F6" s="8" t="n"/>
      <c r="G6" s="8" t="n"/>
      <c r="H6" s="8" t="n"/>
      <c r="I6" s="8" t="n"/>
      <c r="J6" s="8" t="n"/>
      <c r="K6" s="8" t="n"/>
      <c r="L6" s="9">
        <f>IF(COUNTA(F6:K6)=6,0.25*F6+0.2*G6+0.15*H6+0.15*I6+0.15*J6+0.1*K6,"")</f>
        <v/>
      </c>
      <c r="M6" s="10">
        <f>IF(L6="","",IF(L6&gt;=3.5,"PASS","FAIL"))</f>
        <v/>
      </c>
      <c r="N6" s="11" t="n"/>
    </row>
    <row r="7">
      <c r="A7" s="7" t="n">
        <v>5</v>
      </c>
      <c r="B7" s="7" t="inlineStr">
        <is>
          <t>CBSA-27</t>
        </is>
      </c>
      <c r="C7" s="7" t="inlineStr">
        <is>
          <t>CBS Executive</t>
        </is>
      </c>
      <c r="D7" s="7" t="inlineStr">
        <is>
          <t>Strategic decision — compliance gaps</t>
        </is>
      </c>
      <c r="E7" s="7" t="inlineStr">
        <is>
          <t>2026-04-13</t>
        </is>
      </c>
      <c r="F7" s="8" t="n"/>
      <c r="G7" s="8" t="n"/>
      <c r="H7" s="8" t="n"/>
      <c r="I7" s="8" t="n"/>
      <c r="J7" s="8" t="n"/>
      <c r="K7" s="8" t="n"/>
      <c r="L7" s="9">
        <f>IF(COUNTA(F7:K7)=6,0.25*F7+0.2*G7+0.15*H7+0.15*I7+0.15*J7+0.1*K7,"")</f>
        <v/>
      </c>
      <c r="M7" s="10">
        <f>IF(L7="","",IF(L7&gt;=3.5,"PASS","FAIL"))</f>
        <v/>
      </c>
      <c r="N7" s="11" t="n"/>
    </row>
    <row r="8">
      <c r="A8" s="7" t="n">
        <v>6</v>
      </c>
      <c r="B8" s="7" t="inlineStr">
        <is>
          <t>CBSA-34</t>
        </is>
      </c>
      <c r="C8" s="7" t="inlineStr">
        <is>
          <t>Compliance</t>
        </is>
      </c>
      <c r="D8" s="7" t="inlineStr">
        <is>
          <t>Systems engineering standards package</t>
        </is>
      </c>
      <c r="E8" s="7" t="inlineStr">
        <is>
          <t>2026-04-14</t>
        </is>
      </c>
      <c r="F8" s="8" t="n"/>
      <c r="G8" s="8" t="n"/>
      <c r="H8" s="8" t="n"/>
      <c r="I8" s="8" t="n"/>
      <c r="J8" s="8" t="n"/>
      <c r="K8" s="8" t="n"/>
      <c r="L8" s="9">
        <f>IF(COUNTA(F8:K8)=6,0.25*F8+0.2*G8+0.15*H8+0.15*I8+0.15*J8+0.1*K8,"")</f>
        <v/>
      </c>
      <c r="M8" s="10">
        <f>IF(L8="","",IF(L8&gt;=3.5,"PASS","FAIL"))</f>
        <v/>
      </c>
      <c r="N8" s="11" t="n"/>
    </row>
    <row r="9">
      <c r="A9" s="7" t="n">
        <v>7</v>
      </c>
      <c r="B9" s="7" t="inlineStr">
        <is>
          <t>CBSA-35</t>
        </is>
      </c>
      <c r="C9" s="7" t="inlineStr">
        <is>
          <t>Compliance</t>
        </is>
      </c>
      <c r="D9" s="7" t="inlineStr">
        <is>
          <t>Asset management standards package</t>
        </is>
      </c>
      <c r="E9" s="7" t="inlineStr">
        <is>
          <t>2026-04-13</t>
        </is>
      </c>
      <c r="F9" s="8" t="n"/>
      <c r="G9" s="8" t="n"/>
      <c r="H9" s="8" t="n"/>
      <c r="I9" s="8" t="n"/>
      <c r="J9" s="8" t="n"/>
      <c r="K9" s="8" t="n"/>
      <c r="L9" s="9">
        <f>IF(COUNTA(F9:K9)=6,0.25*F9+0.2*G9+0.15*H9+0.15*I9+0.15*J9+0.1*K9,"")</f>
        <v/>
      </c>
      <c r="M9" s="10">
        <f>IF(L9="","",IF(L9&gt;=3.5,"PASS","FAIL"))</f>
        <v/>
      </c>
      <c r="N9" s="11" t="n"/>
    </row>
    <row r="10">
      <c r="A10" s="7" t="n">
        <v>8</v>
      </c>
      <c r="B10" s="7" t="inlineStr">
        <is>
          <t>CBSA-23</t>
        </is>
      </c>
      <c r="C10" s="7" t="inlineStr">
        <is>
          <t>Technical Writing</t>
        </is>
      </c>
      <c r="D10" s="7" t="inlineStr">
        <is>
          <t>Methodology and experience section</t>
        </is>
      </c>
      <c r="E10" s="7" t="inlineStr">
        <is>
          <t>2026-04-11</t>
        </is>
      </c>
      <c r="F10" s="8" t="n"/>
      <c r="G10" s="8" t="n"/>
      <c r="H10" s="8" t="n"/>
      <c r="I10" s="8" t="n"/>
      <c r="J10" s="8" t="n"/>
      <c r="K10" s="8" t="n"/>
      <c r="L10" s="9">
        <f>IF(COUNTA(F10:K10)=6,0.25*F10+0.2*G10+0.15*H10+0.15*I10+0.15*J10+0.1*K10,"")</f>
        <v/>
      </c>
      <c r="M10" s="10">
        <f>IF(L10="","",IF(L10&gt;=3.5,"PASS","FAIL"))</f>
        <v/>
      </c>
      <c r="N10" s="11" t="n"/>
    </row>
    <row r="11">
      <c r="A11" s="7" t="n">
        <v>9</v>
      </c>
      <c r="B11" s="7" t="inlineStr">
        <is>
          <t>CBSA-25</t>
        </is>
      </c>
      <c r="C11" s="7" t="inlineStr">
        <is>
          <t>Pricing and Commercial</t>
        </is>
      </c>
      <c r="D11" s="7" t="inlineStr">
        <is>
          <t>Fee schedule and value proposition</t>
        </is>
      </c>
      <c r="E11" s="7" t="inlineStr">
        <is>
          <t>2026-04-10</t>
        </is>
      </c>
      <c r="F11" s="8" t="n"/>
      <c r="G11" s="8" t="n"/>
      <c r="H11" s="8" t="n"/>
      <c r="I11" s="8" t="n"/>
      <c r="J11" s="8" t="n"/>
      <c r="K11" s="8" t="n"/>
      <c r="L11" s="9">
        <f>IF(COUNTA(F11:K11)=6,0.25*F11+0.2*G11+0.15*H11+0.15*I11+0.15*J11+0.1*K11,"")</f>
        <v/>
      </c>
      <c r="M11" s="10">
        <f>IF(L11="","",IF(L11&gt;=3.5,"PASS","FAIL"))</f>
        <v/>
      </c>
      <c r="N11" s="11" t="n"/>
    </row>
    <row r="12">
      <c r="A12" s="7" t="n">
        <v>10</v>
      </c>
      <c r="B12" s="7" t="inlineStr">
        <is>
          <t>CBSA-20</t>
        </is>
      </c>
      <c r="C12" s="7" t="inlineStr">
        <is>
          <t>Research CBS</t>
        </is>
      </c>
      <c r="D12" s="7" t="inlineStr">
        <is>
          <t>KB retrieval verification</t>
        </is>
      </c>
      <c r="E12" s="7" t="inlineStr">
        <is>
          <t>2026-04-10</t>
        </is>
      </c>
      <c r="F12" s="8" t="n"/>
      <c r="G12" s="8" t="n"/>
      <c r="H12" s="8" t="n"/>
      <c r="I12" s="8" t="n"/>
      <c r="J12" s="8" t="n"/>
      <c r="K12" s="8" t="n"/>
      <c r="L12" s="9">
        <f>IF(COUNTA(F12:K12)=6,0.25*F12+0.2*G12+0.15*H12+0.15*I12+0.15*J12+0.1*K12,"")</f>
        <v/>
      </c>
      <c r="M12" s="10">
        <f>IF(L12="","",IF(L12&gt;=3.5,"PASS","FAIL"))</f>
        <v/>
      </c>
      <c r="N12" s="11" t="n"/>
    </row>
    <row r="14">
      <c r="E14" s="12" t="inlineStr">
        <is>
          <t>AVERAGES</t>
        </is>
      </c>
      <c r="F14" s="13">
        <f>IF(COUNT(F3:F12)&gt;0,AVERAGE(F3:F12),"")</f>
        <v/>
      </c>
      <c r="G14" s="13">
        <f>IF(COUNT(G3:G12)&gt;0,AVERAGE(G3:G12),"")</f>
        <v/>
      </c>
      <c r="H14" s="13">
        <f>IF(COUNT(H3:H12)&gt;0,AVERAGE(H3:H12),"")</f>
        <v/>
      </c>
      <c r="I14" s="13">
        <f>IF(COUNT(I3:I12)&gt;0,AVERAGE(I3:I12),"")</f>
        <v/>
      </c>
      <c r="J14" s="13">
        <f>IF(COUNT(J3:J12)&gt;0,AVERAGE(J3:J12),"")</f>
        <v/>
      </c>
      <c r="K14" s="13">
        <f>IF(COUNT(K3:K12)&gt;0,AVERAGE(K3:K12),"")</f>
        <v/>
      </c>
      <c r="L14" s="14">
        <f>IF(COUNT(L3:L12)&gt;0,AVERAGE(L3:L12),"")</f>
        <v/>
      </c>
      <c r="M14" s="15">
        <f>IF(COUNT(L3:L12)&gt;0,COUNTIF(M3:M12,"PASS")&amp;"/"&amp;COUNT(L3:L12),"")</f>
        <v/>
      </c>
    </row>
    <row r="17">
      <c r="A17" s="16" t="inlineStr">
        <is>
          <t>SCORING GUIDE — Score definitions for each dimension</t>
        </is>
      </c>
    </row>
    <row r="18">
      <c r="A18" s="17" t="inlineStr">
        <is>
          <t>Dimension (Weight)</t>
        </is>
      </c>
      <c r="B18" s="17" t="inlineStr">
        <is>
          <t>1 — Lowest</t>
        </is>
      </c>
      <c r="C18" s="17" t="inlineStr">
        <is>
          <t>2</t>
        </is>
      </c>
      <c r="D18" s="17" t="inlineStr">
        <is>
          <t>3</t>
        </is>
      </c>
      <c r="E18" s="17" t="inlineStr">
        <is>
          <t>4</t>
        </is>
      </c>
      <c r="F18" s="17" t="inlineStr">
        <is>
          <t>5 — Highest</t>
        </is>
      </c>
    </row>
    <row r="19" ht="55" customHeight="1">
      <c r="A19" s="18" t="inlineStr">
        <is>
          <t>KB Grounding (25%)</t>
        </is>
      </c>
      <c r="B19" s="19" t="inlineStr">
        <is>
          <t>No KB content referenced. Entirely fabricated or general knowledge.</t>
        </is>
      </c>
      <c r="C19" s="20" t="inlineStr">
        <is>
          <t>Mentions KB exists but no specific citations.</t>
        </is>
      </c>
      <c r="D19" s="21" t="inlineStr">
        <is>
          <t>References KB but citations vague/incomplete. Some claims ungrounded.</t>
        </is>
      </c>
      <c r="E19" s="22" t="inlineStr">
        <is>
          <t>Most claims grounded in specific KB docs. Minor gaps.</t>
        </is>
      </c>
      <c r="F19" s="23" t="inlineStr">
        <is>
          <t>All substantive claims grounded in cited KB content. Evidence clear.</t>
        </is>
      </c>
    </row>
    <row r="20" ht="55" customHeight="1">
      <c r="A20" s="18" t="inlineStr">
        <is>
          <t>Instruction Adherence (20%)</t>
        </is>
      </c>
      <c r="B20" s="19" t="inlineStr">
        <is>
          <t>Ignores heartbeat protocol. Ad hoc content.</t>
        </is>
      </c>
      <c r="C20" s="20" t="inlineStr">
        <is>
          <t>Follows some steps but skips mandatory sections.</t>
        </is>
      </c>
      <c r="D20" s="21" t="inlineStr">
        <is>
          <t>Follows structure but misses nuances or ordering.</t>
        </is>
      </c>
      <c r="E20" s="22" t="inlineStr">
        <is>
          <t>Follows protocol with minor deviations, no quality impact.</t>
        </is>
      </c>
      <c r="F20" s="23" t="inlineStr">
        <is>
          <t>Strict adherence to all steps, formatting, and structure.</t>
        </is>
      </c>
    </row>
    <row r="21" ht="55" customHeight="1">
      <c r="A21" s="18" t="inlineStr">
        <is>
          <t>Completeness (15%)</t>
        </is>
      </c>
      <c r="B21" s="19" t="inlineStr">
        <is>
          <t>Major sections or required fields missing.</t>
        </is>
      </c>
      <c r="C21" s="20" t="inlineStr">
        <is>
          <t>Several required elements missing or stub-only.</t>
        </is>
      </c>
      <c r="D21" s="21" t="inlineStr">
        <is>
          <t>Most elements present but some thin or placeholder.</t>
        </is>
      </c>
      <c r="E21" s="22" t="inlineStr">
        <is>
          <t>All required elements present with adequate detail.</t>
        </is>
      </c>
      <c r="F21" s="23" t="inlineStr">
        <is>
          <t>All elements present with thorough detail, no gaps.</t>
        </is>
      </c>
    </row>
    <row r="22" ht="55" customHeight="1">
      <c r="A22" s="18" t="inlineStr">
        <is>
          <t>Actionability (15%)</t>
        </is>
      </c>
      <c r="B22" s="19" t="inlineStr">
        <is>
          <t>Vague, abstract, requires significant clarification.</t>
        </is>
      </c>
      <c r="C22" s="20" t="inlineStr">
        <is>
          <t>Some actionable content but key details missing.</t>
        </is>
      </c>
      <c r="D22" s="21" t="inlineStr">
        <is>
          <t>Actionable with context but missing delegation specifics.</t>
        </is>
      </c>
      <c r="E22" s="22" t="inlineStr">
        <is>
          <t>Clear actions with owners, deadlines, next steps. Minor gaps.</t>
        </is>
      </c>
      <c r="F22" s="23" t="inlineStr">
        <is>
          <t>Fully self-contained. Reader can execute without further input.</t>
        </is>
      </c>
    </row>
    <row r="23" ht="55" customHeight="1">
      <c r="A23" s="18" t="inlineStr">
        <is>
          <t>Factual Discipline (15%)</t>
        </is>
      </c>
      <c r="B23" s="19" t="inlineStr">
        <is>
          <t>Contains fabricated data, invented references, false claims.</t>
        </is>
      </c>
      <c r="C23" s="20" t="inlineStr">
        <is>
          <t>Mixes factual content with unattributed speculation.</t>
        </is>
      </c>
      <c r="D23" s="21" t="inlineStr">
        <is>
          <t>Mostly factual but hedged speculation not flagged.</t>
        </is>
      </c>
      <c r="E23" s="22" t="inlineStr">
        <is>
          <t>Factual claims accurate and sourced. Speculation flagged.</t>
        </is>
      </c>
      <c r="F23" s="23" t="inlineStr">
        <is>
          <t>All claims evidence-based. Uncertainty stated. No fabrication.</t>
        </is>
      </c>
    </row>
    <row r="24" ht="55" customHeight="1">
      <c r="A24" s="18" t="inlineStr">
        <is>
          <t>Risk Handling (10%)</t>
        </is>
      </c>
      <c r="B24" s="19" t="inlineStr">
        <is>
          <t>No risk awareness. Recommendations without caveats.</t>
        </is>
      </c>
      <c r="C24" s="20" t="inlineStr">
        <is>
          <t>Acknowledges risk exists but no specifics.</t>
        </is>
      </c>
      <c r="D24" s="21" t="inlineStr">
        <is>
          <t>Identifies key risks but no escalation triggers or mitigations.</t>
        </is>
      </c>
      <c r="E24" s="22" t="inlineStr">
        <is>
          <t>Risks with mitigations. Escalation triggers for high-impact items.</t>
        </is>
      </c>
      <c r="F24" s="23" t="inlineStr">
        <is>
          <t>Comprehensive: identified, quantified, mitigated, escalation clear.</t>
        </is>
      </c>
    </row>
    <row r="26">
      <c r="A26" s="24" t="inlineStr">
        <is>
          <t>Pass threshold: weighted composite &gt;= 3.5</t>
        </is>
      </c>
    </row>
  </sheetData>
  <mergeCells count="2">
    <mergeCell ref="A26:F26"/>
    <mergeCell ref="A17:G17"/>
  </mergeCells>
  <dataValidations count="1">
    <dataValidation sqref="F3:F12 G3:G12 H3:H12 I3:I12 J3:J12 K3:K12" showDropDown="0" showInputMessage="0" showErrorMessage="0" allowBlank="1" errorTitle="Invalid score" error="Enter 1-5" promptTitle="Rubric Score" prompt="Score 1-5" type="whole" operator="between">
      <formula1>1</formula1>
      <formula2>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2026-04-15T04:35:43Z</dcterms:created>
  <dcterms:modified xmlns:dcterms="http://purl.org/dc/terms/" xmlns:xsi="http://www.w3.org/2001/XMLSchema-instance" xsi:type="dcterms:W3CDTF">2026-04-15T04:35:43Z</dcterms:modified>
</cp:coreProperties>
</file>